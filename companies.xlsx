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books\books\downloads1s\"/>
    </mc:Choice>
  </mc:AlternateContent>
  <xr:revisionPtr revIDLastSave="0" documentId="13_ncr:1_{934038AE-43CC-48C3-AFD1-5346D3E338DD}" xr6:coauthVersionLast="47" xr6:coauthVersionMax="47" xr10:uidLastSave="{00000000-0000-0000-0000-000000000000}"/>
  <bookViews>
    <workbookView xWindow="-120" yWindow="-120" windowWidth="29040" windowHeight="16440" xr2:uid="{02632D15-A4EF-4653-BC77-425358D59ABB}"/>
  </bookViews>
  <sheets>
    <sheet name="Clean Data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5" i="3" l="1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<sst xmlns="http://schemas.openxmlformats.org/spreadsheetml/2006/main" count="221" uniqueCount="74">
  <si>
    <t>Company Name</t>
  </si>
  <si>
    <t>City</t>
  </si>
  <si>
    <t>State</t>
  </si>
  <si>
    <t>Industry</t>
  </si>
  <si>
    <t>Sudarshan Chemical Industries Ltd.</t>
  </si>
  <si>
    <t>Pune</t>
  </si>
  <si>
    <t>Maharashtra</t>
  </si>
  <si>
    <t>Chemicals</t>
  </si>
  <si>
    <t>Tata Chemicals Ltd.</t>
  </si>
  <si>
    <t>Mumbai</t>
  </si>
  <si>
    <t>Hindustan Antibiotics Ltd.</t>
  </si>
  <si>
    <t>Pharmaceuticals</t>
  </si>
  <si>
    <t>Aquapharm Chemicals Pvt. Ltd.</t>
  </si>
  <si>
    <t>Elkay Chemicals Pvt. Ltd.</t>
  </si>
  <si>
    <t>Indian Oxides and Chemicals Pvt. Ltd.</t>
  </si>
  <si>
    <t>Emcure Pharmaceuticals Ltd.</t>
  </si>
  <si>
    <t>Alkyl Amines Chemicals Ltd.</t>
  </si>
  <si>
    <t>Navi Mumbai</t>
  </si>
  <si>
    <t>Centaur Pharmaceuticals Pvt. Ltd.</t>
  </si>
  <si>
    <t>Innovassynth Technologies (India) Ltd.</t>
  </si>
  <si>
    <t>Raigad</t>
  </si>
  <si>
    <t>Omniactive Health Technologies Ltd.</t>
  </si>
  <si>
    <t>Health Sciences</t>
  </si>
  <si>
    <t>Hikal Ltd.</t>
  </si>
  <si>
    <t>Enzene Biosciences Ltd.</t>
  </si>
  <si>
    <t>Biotechnology</t>
  </si>
  <si>
    <t>Strand Life Sciences Pvt. Ltd.</t>
  </si>
  <si>
    <t>Bangalore</t>
  </si>
  <si>
    <t>Karnataka</t>
  </si>
  <si>
    <t>Kan Biosys Pvt. Ltd.</t>
  </si>
  <si>
    <t>Ajay Bio-Tech (India) Ltd.</t>
  </si>
  <si>
    <t>Gennova Biopharmaceuticals Ltd.</t>
  </si>
  <si>
    <t>Granules India Ltd.</t>
  </si>
  <si>
    <t>Hyderabad</t>
  </si>
  <si>
    <t>Telangana</t>
  </si>
  <si>
    <t>Serum Institute of India Pvt. Ltd.</t>
  </si>
  <si>
    <t>Agio Pharmaceuticals Ltd.</t>
  </si>
  <si>
    <t>Deepak Novochem Technologies Ltd.</t>
  </si>
  <si>
    <t>Rasayani Biologics Pvt. Ltd.</t>
  </si>
  <si>
    <t>Ross Lifescience Ltd.</t>
  </si>
  <si>
    <t>Hi Tech Bio-Sciences India Pvt. Ltd.</t>
  </si>
  <si>
    <t>Jay Research &amp; Biotech India Pvt. Ltd.</t>
  </si>
  <si>
    <t>AbGenics LifeSciences Pvt. Ltd.</t>
  </si>
  <si>
    <t>Rathi Dye Chem Pvt. Ltd.</t>
  </si>
  <si>
    <t>Clean Science and Technology Ltd.</t>
  </si>
  <si>
    <t>Rise N' Shine Biotech Pvt. Ltd.</t>
  </si>
  <si>
    <t>Mansoon Seeds Pvt. Ltd.</t>
  </si>
  <si>
    <t>Agriculture</t>
  </si>
  <si>
    <t>Intox Pvt. Ltd.</t>
  </si>
  <si>
    <t>Regrow Biosciences Pvt. Ltd.</t>
  </si>
  <si>
    <t>Ahammune Biosciences Pvt. Ltd.</t>
  </si>
  <si>
    <t>Green Vision Life Sciences Pvt. Ltd.</t>
  </si>
  <si>
    <t>Fujifilm Sericol India Pvt. Ltd.</t>
  </si>
  <si>
    <t>Serigen Mediproducts Pvt. Ltd.</t>
  </si>
  <si>
    <t>M. J. Biopharm Pvt. Ltd.</t>
  </si>
  <si>
    <t>Venky's (India) Ltd.</t>
  </si>
  <si>
    <t>Enza Zaden India Pvt. Ltd.</t>
  </si>
  <si>
    <t>Sarvoshadhi Biotech Pvt. Ltd.</t>
  </si>
  <si>
    <t>BVG Life Sciences Ltd.</t>
  </si>
  <si>
    <t>Canpex Chemicals Pvt. Ltd.</t>
  </si>
  <si>
    <t>Greenvention Biotech Pvt. Ltd.</t>
  </si>
  <si>
    <t>Murli Krishna Pharma Pvt. Ltd.</t>
  </si>
  <si>
    <t>PRADO Preclinical Research And Development Organisation Pvt. Ltd.</t>
  </si>
  <si>
    <t>Isera Biological Pvt. Ltd.</t>
  </si>
  <si>
    <t>Lupin Ltd.</t>
  </si>
  <si>
    <t>Accurate Diagnostics Pvt. Ltd.</t>
  </si>
  <si>
    <t>Nova ChemDrugs Pvt. Ltd.</t>
  </si>
  <si>
    <t>Manshya Enviro Biotech Pvt. Ltd.</t>
  </si>
  <si>
    <t>Ulink Agritech Pvt. Ltd.</t>
  </si>
  <si>
    <t>Cipla Ltd.</t>
  </si>
  <si>
    <t>Okasa Pharma Pvt. Ltd.</t>
  </si>
  <si>
    <t>Satara</t>
  </si>
  <si>
    <t>Mediorals Laboratories Pvt. Ltd.</t>
  </si>
  <si>
    <t>Website (Search)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</si>
</sst>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0" fillId="4" borderId="0" xfId="0" applyFill="1"/>
    <xf numFmtId="0" fontId="0" fillId="3" borderId="0" xfId="0" applyFill="1"/>
    <xf numFmtId="0" fontId="0" fillId="4" borderId="0" xfId="0" applyFill="1" applyAlignment="1"/>
    <xf numFmtId="0" fontId="0" fillId="3" borderId="0" xfId="0" applyFill="1" applyAlignment="1"/>
    <xf numFmtId="0" fontId="1" fillId="4" borderId="0" xfId="1" applyFill="1" applyAlignment="1">
      <alignment horizontal="center"/>
    </xf>
    <xf numFmtId="0" fontId="1" fillId="3" borderId="0" xfId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EADB78-DBC1-4450-A6FD-8942BE41644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1543d2f-3ca3-4a3e-b461-7dc7c4fa242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B44D-7C02-4ECF-8FA4-B136ADBFD567}">
  <dimension ref="A1:E55"/>
  <sheetViews>
    <sheetView tabSelected="1" workbookViewId="0">
      <selection activeCell="E2" sqref="E2"/>
    </sheetView>
  </sheetViews>
  <sheetFormatPr defaultRowHeight="15" x14ac:dyDescent="0.25"/>
  <cols>
    <col min="1" max="1" width="63" bestFit="1" customWidth="1"/>
    <col min="2" max="2" width="12.7109375" bestFit="1" customWidth="1"/>
    <col min="3" max="3" width="12" bestFit="1" customWidth="1"/>
    <col min="4" max="4" width="15.5703125" bestFit="1" customWidth="1"/>
    <col min="5" max="5" width="15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</v>
      </c>
    </row>
    <row r="2" spans="1:5" x14ac:dyDescent="0.25">
      <c r="A2" s="4" t="s">
        <v>4</v>
      </c>
      <c r="B2" s="2" t="s">
        <v>5</v>
      </c>
      <c r="C2" s="2" t="s">
        <v>6</v>
      </c>
      <c r="D2" s="2" t="s">
        <v>7</v>
      </c>
      <c r="E2" s="6" t="str">
        <f>HYPERLINK("https://www.google.com/search?q=Sudarshan+Chemical+Industries+Ltd+Pune+India+official+site","Search")</f>
        <v>Search</v>
      </c>
    </row>
    <row r="3" spans="1:5" x14ac:dyDescent="0.25">
      <c r="A3" s="5" t="s">
        <v>8</v>
      </c>
      <c r="B3" s="3" t="s">
        <v>9</v>
      </c>
      <c r="C3" s="3" t="s">
        <v>6</v>
      </c>
      <c r="D3" s="3" t="s">
        <v>7</v>
      </c>
      <c r="E3" s="7" t="str">
        <f>HYPERLINK("https://www.google.com/search?q=Tata+Chemicals+Ltd+Mumbai+India+official+site","Search")</f>
        <v>Search</v>
      </c>
    </row>
    <row r="4" spans="1:5" x14ac:dyDescent="0.25">
      <c r="A4" s="4" t="s">
        <v>10</v>
      </c>
      <c r="B4" s="2" t="s">
        <v>5</v>
      </c>
      <c r="C4" s="2" t="s">
        <v>6</v>
      </c>
      <c r="D4" s="2" t="s">
        <v>11</v>
      </c>
      <c r="E4" s="6" t="str">
        <f>HYPERLINK("https://www.google.com/search?q=Hindustan+Antibiotics+Ltd+Pune+India+official+site","Search")</f>
        <v>Search</v>
      </c>
    </row>
    <row r="5" spans="1:5" x14ac:dyDescent="0.25">
      <c r="A5" s="5" t="s">
        <v>12</v>
      </c>
      <c r="B5" s="3" t="s">
        <v>5</v>
      </c>
      <c r="C5" s="3" t="s">
        <v>6</v>
      </c>
      <c r="D5" s="3" t="s">
        <v>7</v>
      </c>
      <c r="E5" s="7" t="str">
        <f>HYPERLINK("https://www.google.com/search?q=Aquapharm+Chemicals+Pvt+Ltd+Pune+India+official+site","Search")</f>
        <v>Search</v>
      </c>
    </row>
    <row r="6" spans="1:5" x14ac:dyDescent="0.25">
      <c r="A6" s="4" t="s">
        <v>13</v>
      </c>
      <c r="B6" s="2" t="s">
        <v>5</v>
      </c>
      <c r="C6" s="2" t="s">
        <v>6</v>
      </c>
      <c r="D6" s="2" t="s">
        <v>7</v>
      </c>
      <c r="E6" s="6" t="str">
        <f>HYPERLINK("https://www.google.com/search?q=Elkay+Chemicals+Pvt+Ltd+Pune+India+official+site","Search")</f>
        <v>Search</v>
      </c>
    </row>
    <row r="7" spans="1:5" x14ac:dyDescent="0.25">
      <c r="A7" s="5" t="s">
        <v>14</v>
      </c>
      <c r="B7" s="3" t="s">
        <v>9</v>
      </c>
      <c r="C7" s="3" t="s">
        <v>6</v>
      </c>
      <c r="D7" s="3" t="s">
        <v>7</v>
      </c>
      <c r="E7" s="7" t="str">
        <f>HYPERLINK("https://www.google.com/search?q=Indian+Oxides+and+Chemicals+Pvt+Ltd+Mumbai+India+official+site","Search")</f>
        <v>Search</v>
      </c>
    </row>
    <row r="8" spans="1:5" x14ac:dyDescent="0.25">
      <c r="A8" s="4" t="s">
        <v>15</v>
      </c>
      <c r="B8" s="2" t="s">
        <v>5</v>
      </c>
      <c r="C8" s="2" t="s">
        <v>6</v>
      </c>
      <c r="D8" s="2" t="s">
        <v>11</v>
      </c>
      <c r="E8" s="6" t="str">
        <f>HYPERLINK("https://www.google.com/search?q=Emcure+Pharmaceuticals+Ltd+Pune+India+official+site","Search")</f>
        <v>Search</v>
      </c>
    </row>
    <row r="9" spans="1:5" x14ac:dyDescent="0.25">
      <c r="A9" s="5" t="s">
        <v>16</v>
      </c>
      <c r="B9" s="3" t="s">
        <v>17</v>
      </c>
      <c r="C9" s="3" t="s">
        <v>6</v>
      </c>
      <c r="D9" s="3" t="s">
        <v>7</v>
      </c>
      <c r="E9" s="7" t="str">
        <f>HYPERLINK("https://www.google.com/search?q=Alkyl+Amines+Chemicals+Ltd+Navi+Mumbai+India+official+site","Search")</f>
        <v>Search</v>
      </c>
    </row>
    <row r="10" spans="1:5" x14ac:dyDescent="0.25">
      <c r="A10" s="4" t="s">
        <v>18</v>
      </c>
      <c r="B10" s="2" t="s">
        <v>9</v>
      </c>
      <c r="C10" s="2" t="s">
        <v>6</v>
      </c>
      <c r="D10" s="2" t="s">
        <v>11</v>
      </c>
      <c r="E10" s="6" t="str">
        <f>HYPERLINK("https://www.google.com/search?q=Centaur+Pharmaceuticals+Pvt+Ltd+Mumbai+India+official+site","Search")</f>
        <v>Search</v>
      </c>
    </row>
    <row r="11" spans="1:5" x14ac:dyDescent="0.25">
      <c r="A11" s="5" t="s">
        <v>19</v>
      </c>
      <c r="B11" s="3" t="s">
        <v>20</v>
      </c>
      <c r="C11" s="3" t="s">
        <v>6</v>
      </c>
      <c r="D11" s="3" t="s">
        <v>7</v>
      </c>
      <c r="E11" s="7" t="str">
        <f>HYPERLINK("https://www.google.com/search?q=Innovassynth+Technologies+India+Ltd+Raigad+India+official+site","Search")</f>
        <v>Search</v>
      </c>
    </row>
    <row r="12" spans="1:5" x14ac:dyDescent="0.25">
      <c r="A12" s="4" t="s">
        <v>21</v>
      </c>
      <c r="B12" s="2" t="s">
        <v>9</v>
      </c>
      <c r="C12" s="2" t="s">
        <v>6</v>
      </c>
      <c r="D12" s="2" t="s">
        <v>22</v>
      </c>
      <c r="E12" s="6" t="str">
        <f>HYPERLINK("https://www.google.com/search?q=Omniactive+Health+Technologies+Ltd+Mumbai+India+official+site","Search")</f>
        <v>Search</v>
      </c>
    </row>
    <row r="13" spans="1:5" x14ac:dyDescent="0.25">
      <c r="A13" s="5" t="s">
        <v>23</v>
      </c>
      <c r="B13" s="3" t="s">
        <v>17</v>
      </c>
      <c r="C13" s="3" t="s">
        <v>6</v>
      </c>
      <c r="D13" s="3" t="s">
        <v>7</v>
      </c>
      <c r="E13" s="7" t="str">
        <f>HYPERLINK("https://www.google.com/search?q=Hikal+Ltd+Navi+Mumbai+India+official+site","Search")</f>
        <v>Search</v>
      </c>
    </row>
    <row r="14" spans="1:5" x14ac:dyDescent="0.25">
      <c r="A14" s="4" t="s">
        <v>24</v>
      </c>
      <c r="B14" s="2" t="s">
        <v>5</v>
      </c>
      <c r="C14" s="2" t="s">
        <v>6</v>
      </c>
      <c r="D14" s="2" t="s">
        <v>25</v>
      </c>
      <c r="E14" s="6" t="str">
        <f>HYPERLINK("https://www.google.com/search?q=Enzene+Biosciences+Ltd+Pune+India+official+site","Search")</f>
        <v>Search</v>
      </c>
    </row>
    <row r="15" spans="1:5" x14ac:dyDescent="0.25">
      <c r="A15" s="5" t="s">
        <v>26</v>
      </c>
      <c r="B15" s="3" t="s">
        <v>27</v>
      </c>
      <c r="C15" s="3" t="s">
        <v>28</v>
      </c>
      <c r="D15" s="3" t="s">
        <v>25</v>
      </c>
      <c r="E15" s="7" t="str">
        <f>HYPERLINK("https://www.google.com/search?q=Strand+Life+Sciences+Pvt+Ltd+Bangalore+India+official+site","Search")</f>
        <v>Search</v>
      </c>
    </row>
    <row r="16" spans="1:5" x14ac:dyDescent="0.25">
      <c r="A16" s="4" t="s">
        <v>29</v>
      </c>
      <c r="B16" s="2" t="s">
        <v>5</v>
      </c>
      <c r="C16" s="2" t="s">
        <v>6</v>
      </c>
      <c r="D16" s="2" t="s">
        <v>25</v>
      </c>
      <c r="E16" s="6" t="str">
        <f>HYPERLINK("https://www.google.com/search?q=Kan+Biosys+Pvt+Ltd+Pune+India+official+site","Search")</f>
        <v>Search</v>
      </c>
    </row>
    <row r="17" spans="1:5" x14ac:dyDescent="0.25">
      <c r="A17" s="5" t="s">
        <v>30</v>
      </c>
      <c r="B17" s="3" t="s">
        <v>5</v>
      </c>
      <c r="C17" s="3" t="s">
        <v>6</v>
      </c>
      <c r="D17" s="3" t="s">
        <v>25</v>
      </c>
      <c r="E17" s="7" t="str">
        <f>HYPERLINK("https://www.google.com/search?q=Ajay+Bio-Tech+India+Ltd+Pune+India+official+site","Search")</f>
        <v>Search</v>
      </c>
    </row>
    <row r="18" spans="1:5" x14ac:dyDescent="0.25">
      <c r="A18" s="4" t="s">
        <v>31</v>
      </c>
      <c r="B18" s="2" t="s">
        <v>5</v>
      </c>
      <c r="C18" s="2" t="s">
        <v>6</v>
      </c>
      <c r="D18" s="2" t="s">
        <v>11</v>
      </c>
      <c r="E18" s="6" t="str">
        <f>HYPERLINK("https://www.google.com/search?q=Gennova+Biopharmaceuticals+Ltd+Pune+India+official+site","Search")</f>
        <v>Search</v>
      </c>
    </row>
    <row r="19" spans="1:5" x14ac:dyDescent="0.25">
      <c r="A19" s="5" t="s">
        <v>32</v>
      </c>
      <c r="B19" s="3" t="s">
        <v>33</v>
      </c>
      <c r="C19" s="3" t="s">
        <v>34</v>
      </c>
      <c r="D19" s="3" t="s">
        <v>11</v>
      </c>
      <c r="E19" s="7" t="str">
        <f>HYPERLINK("https://www.google.com/search?q=Granules+India+Ltd+Hyderabad+India+official+site","Search")</f>
        <v>Search</v>
      </c>
    </row>
    <row r="20" spans="1:5" x14ac:dyDescent="0.25">
      <c r="A20" s="4" t="s">
        <v>35</v>
      </c>
      <c r="B20" s="2" t="s">
        <v>5</v>
      </c>
      <c r="C20" s="2" t="s">
        <v>6</v>
      </c>
      <c r="D20" s="2" t="s">
        <v>11</v>
      </c>
      <c r="E20" s="6" t="str">
        <f>HYPERLINK("https://www.google.com/search?q=Serum+Institute+of+India+Pvt+Ltd+Pune+India+official+site","Search")</f>
        <v>Search</v>
      </c>
    </row>
    <row r="21" spans="1:5" x14ac:dyDescent="0.25">
      <c r="A21" s="5" t="s">
        <v>36</v>
      </c>
      <c r="B21" s="3" t="s">
        <v>9</v>
      </c>
      <c r="C21" s="3" t="s">
        <v>6</v>
      </c>
      <c r="D21" s="3" t="s">
        <v>11</v>
      </c>
      <c r="E21" s="7" t="str">
        <f>HYPERLINK("https://www.google.com/search?q=Agio+Pharmaceuticals+Ltd+Mumbai+India+official+site","Search")</f>
        <v>Search</v>
      </c>
    </row>
    <row r="22" spans="1:5" x14ac:dyDescent="0.25">
      <c r="A22" s="4" t="s">
        <v>37</v>
      </c>
      <c r="B22" s="2" t="s">
        <v>5</v>
      </c>
      <c r="C22" s="2" t="s">
        <v>6</v>
      </c>
      <c r="D22" s="2" t="s">
        <v>7</v>
      </c>
      <c r="E22" s="6" t="str">
        <f>HYPERLINK("https://www.google.com/search?q=Deepak+Novochem+Technologies+Ltd+Pune+India+official+site","Search")</f>
        <v>Search</v>
      </c>
    </row>
    <row r="23" spans="1:5" x14ac:dyDescent="0.25">
      <c r="A23" s="5" t="s">
        <v>38</v>
      </c>
      <c r="B23" s="3" t="s">
        <v>5</v>
      </c>
      <c r="C23" s="3" t="s">
        <v>6</v>
      </c>
      <c r="D23" s="3" t="s">
        <v>25</v>
      </c>
      <c r="E23" s="7" t="str">
        <f>HYPERLINK("https://www.google.com/search?q=Rasayani+Biologics+Pvt+Ltd+Pune+India+official+site","Search")</f>
        <v>Search</v>
      </c>
    </row>
    <row r="24" spans="1:5" x14ac:dyDescent="0.25">
      <c r="A24" s="4" t="s">
        <v>39</v>
      </c>
      <c r="B24" s="2" t="s">
        <v>5</v>
      </c>
      <c r="C24" s="2" t="s">
        <v>6</v>
      </c>
      <c r="D24" s="2" t="s">
        <v>11</v>
      </c>
      <c r="E24" s="6" t="str">
        <f>HYPERLINK("https://www.google.com/search?q=Ross+Lifescience+Ltd+Pune+India+official+site","Search")</f>
        <v>Search</v>
      </c>
    </row>
    <row r="25" spans="1:5" x14ac:dyDescent="0.25">
      <c r="A25" s="5" t="s">
        <v>40</v>
      </c>
      <c r="B25" s="3" t="s">
        <v>5</v>
      </c>
      <c r="C25" s="3" t="s">
        <v>6</v>
      </c>
      <c r="D25" s="3" t="s">
        <v>25</v>
      </c>
      <c r="E25" s="7" t="str">
        <f>HYPERLINK("https://www.google.com/search?q=Hi+Tech+Bio-Sciences+India+Pvt+Ltd+Pune+India+official+site","Search")</f>
        <v>Search</v>
      </c>
    </row>
    <row r="26" spans="1:5" x14ac:dyDescent="0.25">
      <c r="A26" s="4" t="s">
        <v>41</v>
      </c>
      <c r="B26" s="2" t="s">
        <v>5</v>
      </c>
      <c r="C26" s="2" t="s">
        <v>6</v>
      </c>
      <c r="D26" s="2" t="s">
        <v>25</v>
      </c>
      <c r="E26" s="6" t="str">
        <f>HYPERLINK("https://www.google.com/search?q=Jay+Research+Biotech+India+Pvt+Ltd+Pune+India+official+site","Search")</f>
        <v>Search</v>
      </c>
    </row>
    <row r="27" spans="1:5" x14ac:dyDescent="0.25">
      <c r="A27" s="5" t="s">
        <v>42</v>
      </c>
      <c r="B27" s="3" t="s">
        <v>5</v>
      </c>
      <c r="C27" s="3" t="s">
        <v>6</v>
      </c>
      <c r="D27" s="3" t="s">
        <v>25</v>
      </c>
      <c r="E27" s="7" t="str">
        <f>HYPERLINK("https://www.google.com/search?q=AbGenics+LifeSciences+Pvt+Ltd+Pune+India+official+site","Search")</f>
        <v>Search</v>
      </c>
    </row>
    <row r="28" spans="1:5" x14ac:dyDescent="0.25">
      <c r="A28" s="4" t="s">
        <v>43</v>
      </c>
      <c r="B28" s="2" t="s">
        <v>5</v>
      </c>
      <c r="C28" s="2" t="s">
        <v>6</v>
      </c>
      <c r="D28" s="2" t="s">
        <v>7</v>
      </c>
      <c r="E28" s="6" t="str">
        <f>HYPERLINK("https://www.google.com/search?q=Rathi+Dye+Chem+Pvt+Ltd+Pune+India+official+site","Search")</f>
        <v>Search</v>
      </c>
    </row>
    <row r="29" spans="1:5" x14ac:dyDescent="0.25">
      <c r="A29" s="5" t="s">
        <v>44</v>
      </c>
      <c r="B29" s="3" t="s">
        <v>5</v>
      </c>
      <c r="C29" s="3" t="s">
        <v>6</v>
      </c>
      <c r="D29" s="3" t="s">
        <v>7</v>
      </c>
      <c r="E29" s="7" t="str">
        <f>HYPERLINK("https://www.google.com/search?q=Clean+Science+and+Technology+Ltd+Pune+India+official+site","Search")</f>
        <v>Search</v>
      </c>
    </row>
    <row r="30" spans="1:5" x14ac:dyDescent="0.25">
      <c r="A30" s="4" t="s">
        <v>45</v>
      </c>
      <c r="B30" s="2" t="s">
        <v>5</v>
      </c>
      <c r="C30" s="2" t="s">
        <v>6</v>
      </c>
      <c r="D30" s="2" t="s">
        <v>25</v>
      </c>
      <c r="E30" s="6" t="str">
        <f>HYPERLINK("https://www.google.com/search?q=Rise+N+Shine+Biotech+Pvt+Ltd+Pune+India+official+site","Search")</f>
        <v>Search</v>
      </c>
    </row>
    <row r="31" spans="1:5" x14ac:dyDescent="0.25">
      <c r="A31" s="5" t="s">
        <v>46</v>
      </c>
      <c r="B31" s="3" t="s">
        <v>5</v>
      </c>
      <c r="C31" s="3" t="s">
        <v>6</v>
      </c>
      <c r="D31" s="3" t="s">
        <v>47</v>
      </c>
      <c r="E31" s="7" t="str">
        <f>HYPERLINK("https://www.google.com/search?q=Mansoon+Seeds+Pvt+Ltd+Pune+India+official+site","Search")</f>
        <v>Search</v>
      </c>
    </row>
    <row r="32" spans="1:5" x14ac:dyDescent="0.25">
      <c r="A32" s="4" t="s">
        <v>48</v>
      </c>
      <c r="B32" s="2" t="s">
        <v>5</v>
      </c>
      <c r="C32" s="2" t="s">
        <v>6</v>
      </c>
      <c r="D32" s="2" t="s">
        <v>25</v>
      </c>
      <c r="E32" s="6" t="str">
        <f>HYPERLINK("https://www.google.com/search?q=Intox+Pvt+Ltd+Pune+India+official+site","Search")</f>
        <v>Search</v>
      </c>
    </row>
    <row r="33" spans="1:5" x14ac:dyDescent="0.25">
      <c r="A33" s="5" t="s">
        <v>49</v>
      </c>
      <c r="B33" s="3" t="s">
        <v>9</v>
      </c>
      <c r="C33" s="3" t="s">
        <v>6</v>
      </c>
      <c r="D33" s="3" t="s">
        <v>25</v>
      </c>
      <c r="E33" s="7" t="str">
        <f>HYPERLINK("https://www.google.com/search?q=Regrow+Biosciences+Pvt+Ltd+Mumbai+India+official+site","Search")</f>
        <v>Search</v>
      </c>
    </row>
    <row r="34" spans="1:5" x14ac:dyDescent="0.25">
      <c r="A34" s="4" t="s">
        <v>50</v>
      </c>
      <c r="B34" s="2" t="s">
        <v>5</v>
      </c>
      <c r="C34" s="2" t="s">
        <v>6</v>
      </c>
      <c r="D34" s="2" t="s">
        <v>25</v>
      </c>
      <c r="E34" s="6" t="str">
        <f>HYPERLINK("https://www.google.com/search?q=Ahammune+Biosciences+Pvt+Ltd+Pune+India+official+site","Search")</f>
        <v>Search</v>
      </c>
    </row>
    <row r="35" spans="1:5" x14ac:dyDescent="0.25">
      <c r="A35" s="5" t="s">
        <v>51</v>
      </c>
      <c r="B35" s="3" t="s">
        <v>5</v>
      </c>
      <c r="C35" s="3" t="s">
        <v>6</v>
      </c>
      <c r="D35" s="3" t="s">
        <v>25</v>
      </c>
      <c r="E35" s="7" t="str">
        <f>HYPERLINK("https://www.google.com/search?q=Green+Vision+Life+Sciences+Pvt+Ltd+Pune+India+official+site","Search")</f>
        <v>Search</v>
      </c>
    </row>
    <row r="36" spans="1:5" x14ac:dyDescent="0.25">
      <c r="A36" s="4" t="s">
        <v>52</v>
      </c>
      <c r="B36" s="2" t="s">
        <v>5</v>
      </c>
      <c r="C36" s="2" t="s">
        <v>6</v>
      </c>
      <c r="D36" s="2" t="s">
        <v>7</v>
      </c>
      <c r="E36" s="6" t="str">
        <f>HYPERLINK("https://www.google.com/search?q=Fujifilm+Sericol+India+Pvt+Ltd+Pune+India+official+site","Search")</f>
        <v>Search</v>
      </c>
    </row>
    <row r="37" spans="1:5" x14ac:dyDescent="0.25">
      <c r="A37" s="5" t="s">
        <v>53</v>
      </c>
      <c r="B37" s="3" t="s">
        <v>5</v>
      </c>
      <c r="C37" s="3" t="s">
        <v>6</v>
      </c>
      <c r="D37" s="3" t="s">
        <v>11</v>
      </c>
      <c r="E37" s="7" t="str">
        <f>HYPERLINK("https://www.google.com/search?q=Serigen+Mediproducts+Pvt+Ltd+Pune+India+official+site","Search")</f>
        <v>Search</v>
      </c>
    </row>
    <row r="38" spans="1:5" x14ac:dyDescent="0.25">
      <c r="A38" s="4" t="s">
        <v>54</v>
      </c>
      <c r="B38" s="2" t="s">
        <v>5</v>
      </c>
      <c r="C38" s="2" t="s">
        <v>6</v>
      </c>
      <c r="D38" s="2" t="s">
        <v>11</v>
      </c>
      <c r="E38" s="6" t="str">
        <f>HYPERLINK("https://www.google.com/search?q=M+J+Biopharm+Pvt+Ltd+Pune+India+official+site","Search")</f>
        <v>Search</v>
      </c>
    </row>
    <row r="39" spans="1:5" x14ac:dyDescent="0.25">
      <c r="A39" s="5" t="s">
        <v>55</v>
      </c>
      <c r="B39" s="3" t="s">
        <v>5</v>
      </c>
      <c r="C39" s="3" t="s">
        <v>6</v>
      </c>
      <c r="D39" s="3" t="s">
        <v>47</v>
      </c>
      <c r="E39" s="7" t="str">
        <f>HYPERLINK("https://www.google.com/search?q=Venky%27s+India+Ltd+Pune+India+official+site","Search")</f>
        <v>Search</v>
      </c>
    </row>
    <row r="40" spans="1:5" x14ac:dyDescent="0.25">
      <c r="A40" s="4" t="s">
        <v>56</v>
      </c>
      <c r="B40" s="2" t="s">
        <v>5</v>
      </c>
      <c r="C40" s="2" t="s">
        <v>6</v>
      </c>
      <c r="D40" s="2" t="s">
        <v>47</v>
      </c>
      <c r="E40" s="6" t="str">
        <f>HYPERLINK("https://www.google.com/search?q=Enza+Zaden+India+Pvt+Ltd+Pune+India+official+site","Search")</f>
        <v>Search</v>
      </c>
    </row>
    <row r="41" spans="1:5" x14ac:dyDescent="0.25">
      <c r="A41" s="5" t="s">
        <v>57</v>
      </c>
      <c r="B41" s="3" t="s">
        <v>5</v>
      </c>
      <c r="C41" s="3" t="s">
        <v>6</v>
      </c>
      <c r="D41" s="3" t="s">
        <v>25</v>
      </c>
      <c r="E41" s="7" t="str">
        <f>HYPERLINK("https://www.google.com/search?q=Sarvoshadhi+Biotech+Pvt+Ltd+Pune+India+official+site","Search")</f>
        <v>Search</v>
      </c>
    </row>
    <row r="42" spans="1:5" x14ac:dyDescent="0.25">
      <c r="A42" s="4" t="s">
        <v>58</v>
      </c>
      <c r="B42" s="2" t="s">
        <v>5</v>
      </c>
      <c r="C42" s="2" t="s">
        <v>6</v>
      </c>
      <c r="D42" s="2" t="s">
        <v>25</v>
      </c>
      <c r="E42" s="6" t="str">
        <f>HYPERLINK("https://www.google.com/search?q=BVG+Life+Sciences+Ltd+Pune+India+official+site","Search")</f>
        <v>Search</v>
      </c>
    </row>
    <row r="43" spans="1:5" x14ac:dyDescent="0.25">
      <c r="A43" s="5" t="s">
        <v>59</v>
      </c>
      <c r="B43" s="3" t="s">
        <v>5</v>
      </c>
      <c r="C43" s="3" t="s">
        <v>6</v>
      </c>
      <c r="D43" s="3" t="s">
        <v>7</v>
      </c>
      <c r="E43" s="7" t="str">
        <f>HYPERLINK("https://www.google.com/search?q=Canpex+Chemicals+Pvt+Ltd+Pune+India+official+site","Search")</f>
        <v>Search</v>
      </c>
    </row>
    <row r="44" spans="1:5" x14ac:dyDescent="0.25">
      <c r="A44" s="4" t="s">
        <v>60</v>
      </c>
      <c r="B44" s="2" t="s">
        <v>5</v>
      </c>
      <c r="C44" s="2" t="s">
        <v>6</v>
      </c>
      <c r="D44" s="2" t="s">
        <v>25</v>
      </c>
      <c r="E44" s="6" t="str">
        <f>HYPERLINK("https://www.google.com/search?q=Greenvention+Biotech+Pvt+Ltd+Pune+India+official+site","Search")</f>
        <v>Search</v>
      </c>
    </row>
    <row r="45" spans="1:5" x14ac:dyDescent="0.25">
      <c r="A45" s="5" t="s">
        <v>61</v>
      </c>
      <c r="B45" s="3" t="s">
        <v>5</v>
      </c>
      <c r="C45" s="3" t="s">
        <v>6</v>
      </c>
      <c r="D45" s="3" t="s">
        <v>11</v>
      </c>
      <c r="E45" s="7" t="str">
        <f>HYPERLINK("https://www.google.com/search?q=Murli+Krishna+Pharma+Pvt+Ltd+Pune+India+official+site","Search")</f>
        <v>Search</v>
      </c>
    </row>
    <row r="46" spans="1:5" x14ac:dyDescent="0.25">
      <c r="A46" s="4" t="s">
        <v>62</v>
      </c>
      <c r="B46" s="2" t="s">
        <v>5</v>
      </c>
      <c r="C46" s="2" t="s">
        <v>6</v>
      </c>
      <c r="D46" s="2" t="s">
        <v>11</v>
      </c>
      <c r="E46" s="6" t="str">
        <f>HYPERLINK("https://www.google.com/search?q=PRADO+Preclinical+Research+Development+Organisation+Pvt+Ltd+Pune+India+official+site","Search")</f>
        <v>Search</v>
      </c>
    </row>
    <row r="47" spans="1:5" x14ac:dyDescent="0.25">
      <c r="A47" s="5" t="s">
        <v>63</v>
      </c>
      <c r="B47" s="3" t="s">
        <v>5</v>
      </c>
      <c r="C47" s="3" t="s">
        <v>6</v>
      </c>
      <c r="D47" s="3" t="s">
        <v>25</v>
      </c>
      <c r="E47" s="7" t="str">
        <f>HYPERLINK("https://www.google.com/search?q=Isera+Biological+Pvt+Ltd+Pune+India+official+site","Search")</f>
        <v>Search</v>
      </c>
    </row>
    <row r="48" spans="1:5" x14ac:dyDescent="0.25">
      <c r="A48" s="4" t="s">
        <v>64</v>
      </c>
      <c r="B48" s="2" t="s">
        <v>9</v>
      </c>
      <c r="C48" s="2" t="s">
        <v>6</v>
      </c>
      <c r="D48" s="2" t="s">
        <v>11</v>
      </c>
      <c r="E48" s="6" t="str">
        <f>HYPERLINK("https://www.google.com/search?q=Lupin+Ltd+Mumbai+India+official+site","Search")</f>
        <v>Search</v>
      </c>
    </row>
    <row r="49" spans="1:5" x14ac:dyDescent="0.25">
      <c r="A49" s="5" t="s">
        <v>65</v>
      </c>
      <c r="B49" s="3" t="s">
        <v>5</v>
      </c>
      <c r="C49" s="3" t="s">
        <v>6</v>
      </c>
      <c r="D49" s="3" t="s">
        <v>11</v>
      </c>
      <c r="E49" s="7" t="str">
        <f>HYPERLINK("https://www.google.com/search?q=Accurate+Diagnostics+Pvt+Ltd+Pune+India+official+site","Search")</f>
        <v>Search</v>
      </c>
    </row>
    <row r="50" spans="1:5" x14ac:dyDescent="0.25">
      <c r="A50" s="4" t="s">
        <v>66</v>
      </c>
      <c r="B50" s="2" t="s">
        <v>5</v>
      </c>
      <c r="C50" s="2" t="s">
        <v>6</v>
      </c>
      <c r="D50" s="2" t="s">
        <v>11</v>
      </c>
      <c r="E50" s="6" t="str">
        <f>HYPERLINK("https://www.google.com/search?q=Nova+ChemDrugs+Pvt+Ltd+Pune+India+official+site","Search")</f>
        <v>Search</v>
      </c>
    </row>
    <row r="51" spans="1:5" x14ac:dyDescent="0.25">
      <c r="A51" s="5" t="s">
        <v>67</v>
      </c>
      <c r="B51" s="3" t="s">
        <v>5</v>
      </c>
      <c r="C51" s="3" t="s">
        <v>6</v>
      </c>
      <c r="D51" s="3" t="s">
        <v>25</v>
      </c>
      <c r="E51" s="7" t="str">
        <f>HYPERLINK("https://www.google.com/search?q=Manshya+Enviro+Biotech+Pvt+Ltd+Pune+India+official+site","Search")</f>
        <v>Search</v>
      </c>
    </row>
    <row r="52" spans="1:5" x14ac:dyDescent="0.25">
      <c r="A52" s="4" t="s">
        <v>68</v>
      </c>
      <c r="B52" s="2" t="s">
        <v>5</v>
      </c>
      <c r="C52" s="2" t="s">
        <v>6</v>
      </c>
      <c r="D52" s="2" t="s">
        <v>47</v>
      </c>
      <c r="E52" s="6" t="str">
        <f>HYPERLINK("https://www.google.com/search?q=Ulink+Agritech+Pvt+Ltd+Pune+India+official+site","Search")</f>
        <v>Search</v>
      </c>
    </row>
    <row r="53" spans="1:5" x14ac:dyDescent="0.25">
      <c r="A53" s="5" t="s">
        <v>69</v>
      </c>
      <c r="B53" s="3" t="s">
        <v>5</v>
      </c>
      <c r="C53" s="3" t="s">
        <v>6</v>
      </c>
      <c r="D53" s="3" t="s">
        <v>11</v>
      </c>
      <c r="E53" s="7" t="str">
        <f>HYPERLINK("https://www.google.com/search?q=Cipla+Ltd+Pune+India+official+site","Search")</f>
        <v>Search</v>
      </c>
    </row>
    <row r="54" spans="1:5" x14ac:dyDescent="0.25">
      <c r="A54" s="4" t="s">
        <v>70</v>
      </c>
      <c r="B54" s="2" t="s">
        <v>71</v>
      </c>
      <c r="C54" s="2" t="s">
        <v>6</v>
      </c>
      <c r="D54" s="2" t="s">
        <v>11</v>
      </c>
      <c r="E54" s="6" t="str">
        <f>HYPERLINK("https://www.google.com/search?q=Okasa+Pharma+Pvt+Ltd+Satara+India+official+site","Search")</f>
        <v>Search</v>
      </c>
    </row>
    <row r="55" spans="1:5" x14ac:dyDescent="0.25">
      <c r="A55" s="5" t="s">
        <v>72</v>
      </c>
      <c r="B55" s="3" t="s">
        <v>71</v>
      </c>
      <c r="C55" s="3" t="s">
        <v>6</v>
      </c>
      <c r="D55" s="3" t="s">
        <v>11</v>
      </c>
      <c r="E55" s="7" t="str">
        <f>HYPERLINK("https://www.google.com/search?q=Mediorals+Laboratories+Pvt+Ltd+Satara+India+official+site","Search")</f>
        <v>Search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singh</dc:creator>
  <cp:lastModifiedBy>vaibhav singh</cp:lastModifiedBy>
  <dcterms:created xsi:type="dcterms:W3CDTF">2026-04-28T22:54:38Z</dcterms:created>
  <dcterms:modified xsi:type="dcterms:W3CDTF">2026-04-28T23:13:25Z</dcterms:modified>
</cp:coreProperties>
</file>